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P:\TAX DATA_CONFIDENTIAL\Stats Reports &amp; Data Files Prior TY 2007 &amp; Misc\REP\EITC\2023\Drafts\"/>
    </mc:Choice>
  </mc:AlternateContent>
  <xr:revisionPtr revIDLastSave="0" documentId="13_ncr:1_{1E203BA2-EA06-4831-A67D-2EC34645F80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1" i="4" l="1"/>
  <c r="D10" i="4"/>
  <c r="D6" i="4"/>
  <c r="D9" i="4"/>
  <c r="D8" i="4"/>
  <c r="D7" i="4"/>
</calcChain>
</file>

<file path=xl/sharedStrings.xml><?xml version="1.0" encoding="utf-8"?>
<sst xmlns="http://schemas.openxmlformats.org/spreadsheetml/2006/main" count="59" uniqueCount="41">
  <si>
    <t>Table 1</t>
  </si>
  <si>
    <t>less than $15,000</t>
  </si>
  <si>
    <t>$15,000 to $29,999</t>
  </si>
  <si>
    <t>$30,000 to $44,999</t>
  </si>
  <si>
    <t>$45,000 to $54,999</t>
  </si>
  <si>
    <t>$55,000 or more</t>
  </si>
  <si>
    <t>Total</t>
  </si>
  <si>
    <t>Table 2</t>
  </si>
  <si>
    <t>Claims for the Earned Income Tax Credits by Tax District</t>
  </si>
  <si>
    <t>OAHU (District 1)</t>
  </si>
  <si>
    <t>MAUI (District 2)</t>
  </si>
  <si>
    <t>HAWAII (District 3)</t>
  </si>
  <si>
    <t>KAUAI (District 4)</t>
  </si>
  <si>
    <t>State Total</t>
  </si>
  <si>
    <t>Table 3</t>
  </si>
  <si>
    <t>Claims for the Earned Income Tax Credits by Resident Status</t>
  </si>
  <si>
    <t>Forms N-11</t>
  </si>
  <si>
    <t>Forms N-15</t>
  </si>
  <si>
    <t>Table 4</t>
  </si>
  <si>
    <t>Claims for the Earned Income Tax Credits by Filing Status</t>
  </si>
  <si>
    <t>Single</t>
  </si>
  <si>
    <t>Joint</t>
  </si>
  <si>
    <t>Married filing separately</t>
  </si>
  <si>
    <t>Head of household</t>
  </si>
  <si>
    <t>Qualifying widow(er)</t>
  </si>
  <si>
    <t>Number of Credits
Claimed</t>
  </si>
  <si>
    <t xml:space="preserve">Amount of Credit </t>
  </si>
  <si>
    <t>Average Amount per Claim</t>
  </si>
  <si>
    <t>Federal Adjusted Gross Income Range</t>
  </si>
  <si>
    <t>Tax District</t>
  </si>
  <si>
    <t>Filing Status</t>
  </si>
  <si>
    <t>Tax Form</t>
  </si>
  <si>
    <t>Claims for the Earned Income Tax Credit by Income Range</t>
  </si>
  <si>
    <t>Number</t>
  </si>
  <si>
    <t>Amount</t>
  </si>
  <si>
    <t>Total Credit Carried over from
last Tax Year</t>
  </si>
  <si>
    <t>Total New Credit Claimed for
this Tax Year</t>
  </si>
  <si>
    <t>Total Credit Applied to this
Tax Year</t>
  </si>
  <si>
    <t>* Tax returns that have an out-of-state address are allocated to Oahu.</t>
  </si>
  <si>
    <t>Tax Year 2023</t>
  </si>
  <si>
    <t>Unused Credit Carried over to
next Tax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</si>
</sst>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##############0"/>
    <numFmt numFmtId="165" formatCode="###,###,###,##0"/>
    <numFmt numFmtId="166" formatCode="&quot;$&quot;###,###,###,##0"/>
  </numFmts>
  <fonts count="10" x14ac:knownFonts="1">
    <font>
      <sz val="8"/>
      <color rgb="FF000000"/>
      <name val="Courier New"/>
    </font>
    <font>
      <sz val="10"/>
      <color indexed="8"/>
      <name val="Arial"/>
      <family val="2"/>
    </font>
    <font>
      <b/>
      <sz val="10"/>
      <color rgb="FF000000"/>
      <name val="Arial"/>
      <family val="2"/>
    </font>
    <font>
      <b/>
      <sz val="10"/>
      <color indexed="8"/>
      <name val="Arial"/>
      <family val="2"/>
    </font>
    <font>
      <sz val="9.5"/>
      <color rgb="FF000000"/>
      <name val="Arial"/>
      <family val="2"/>
    </font>
    <font>
      <b/>
      <sz val="11"/>
      <color indexed="8"/>
      <name val="Arial"/>
      <family val="2"/>
    </font>
    <font>
      <b/>
      <sz val="8"/>
      <color rgb="FF000000"/>
      <name val="Arial"/>
      <family val="2"/>
    </font>
    <font>
      <b/>
      <sz val="7"/>
      <color rgb="FF000000"/>
      <name val="Arial"/>
      <family val="2"/>
    </font>
    <font>
      <sz val="7"/>
      <color rgb="FF000000"/>
      <name val="Arial"/>
      <family val="2"/>
    </font>
    <font>
      <b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vertical="top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wrapText="1"/>
    </xf>
    <xf numFmtId="166" fontId="1" fillId="2" borderId="2" xfId="0" applyNumberFormat="1" applyFont="1" applyFill="1" applyBorder="1" applyAlignment="1">
      <alignment horizontal="right"/>
    </xf>
    <xf numFmtId="166" fontId="1" fillId="2" borderId="3" xfId="0" applyNumberFormat="1" applyFont="1" applyFill="1" applyBorder="1" applyAlignment="1">
      <alignment horizontal="right"/>
    </xf>
    <xf numFmtId="0" fontId="2" fillId="0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left" vertical="top"/>
    </xf>
    <xf numFmtId="166" fontId="1" fillId="2" borderId="7" xfId="0" applyNumberFormat="1" applyFont="1" applyFill="1" applyBorder="1" applyAlignment="1">
      <alignment horizontal="right"/>
    </xf>
    <xf numFmtId="0" fontId="0" fillId="0" borderId="1" xfId="0" applyFont="1" applyFill="1" applyBorder="1" applyAlignment="1"/>
    <xf numFmtId="0" fontId="3" fillId="2" borderId="9" xfId="0" applyFont="1" applyFill="1" applyBorder="1" applyAlignment="1">
      <alignment horizontal="center" wrapText="1"/>
    </xf>
    <xf numFmtId="165" fontId="1" fillId="2" borderId="10" xfId="0" applyNumberFormat="1" applyFont="1" applyFill="1" applyBorder="1" applyAlignment="1">
      <alignment horizontal="right"/>
    </xf>
    <xf numFmtId="165" fontId="1" fillId="2" borderId="11" xfId="0" applyNumberFormat="1" applyFont="1" applyFill="1" applyBorder="1" applyAlignment="1">
      <alignment horizontal="right"/>
    </xf>
    <xf numFmtId="0" fontId="1" fillId="2" borderId="1" xfId="0" applyFont="1" applyFill="1" applyBorder="1" applyAlignment="1">
      <alignment horizontal="left"/>
    </xf>
    <xf numFmtId="165" fontId="1" fillId="2" borderId="12" xfId="0" applyNumberFormat="1" applyFont="1" applyFill="1" applyBorder="1" applyAlignment="1">
      <alignment horizontal="right"/>
    </xf>
    <xf numFmtId="166" fontId="0" fillId="0" borderId="0" xfId="0" applyNumberFormat="1" applyFont="1" applyFill="1" applyBorder="1" applyAlignment="1">
      <alignment horizontal="left"/>
    </xf>
    <xf numFmtId="165" fontId="0" fillId="0" borderId="0" xfId="0" applyNumberFormat="1" applyFont="1" applyFill="1" applyBorder="1" applyAlignment="1">
      <alignment horizontal="left"/>
    </xf>
    <xf numFmtId="0" fontId="7" fillId="0" borderId="5" xfId="0" applyFont="1" applyFill="1" applyBorder="1" applyAlignment="1">
      <alignment horizontal="center" wrapText="1"/>
    </xf>
    <xf numFmtId="0" fontId="7" fillId="2" borderId="13" xfId="0" applyFont="1" applyFill="1" applyBorder="1" applyAlignment="1">
      <alignment horizontal="center" wrapText="1"/>
    </xf>
    <xf numFmtId="0" fontId="7" fillId="2" borderId="14" xfId="0" applyFont="1" applyFill="1" applyBorder="1" applyAlignment="1">
      <alignment horizontal="center" wrapText="1"/>
    </xf>
    <xf numFmtId="0" fontId="7" fillId="2" borderId="22" xfId="0" applyFont="1" applyFill="1" applyBorder="1" applyAlignment="1">
      <alignment horizontal="center" wrapText="1"/>
    </xf>
    <xf numFmtId="0" fontId="7" fillId="2" borderId="19" xfId="0" applyFont="1" applyFill="1" applyBorder="1" applyAlignment="1">
      <alignment horizontal="center" wrapText="1"/>
    </xf>
    <xf numFmtId="0" fontId="7" fillId="0" borderId="14" xfId="0" applyFont="1" applyFill="1" applyBorder="1" applyAlignment="1">
      <alignment horizontal="center" wrapText="1"/>
    </xf>
    <xf numFmtId="165" fontId="8" fillId="2" borderId="10" xfId="0" applyNumberFormat="1" applyFont="1" applyFill="1" applyBorder="1" applyAlignment="1">
      <alignment horizontal="right"/>
    </xf>
    <xf numFmtId="166" fontId="8" fillId="2" borderId="2" xfId="0" applyNumberFormat="1" applyFont="1" applyFill="1" applyBorder="1" applyAlignment="1">
      <alignment horizontal="right"/>
    </xf>
    <xf numFmtId="166" fontId="8" fillId="2" borderId="23" xfId="0" applyNumberFormat="1" applyFont="1" applyFill="1" applyBorder="1" applyAlignment="1">
      <alignment horizontal="right"/>
    </xf>
    <xf numFmtId="165" fontId="8" fillId="2" borderId="20" xfId="0" applyNumberFormat="1" applyFont="1" applyFill="1" applyBorder="1" applyAlignment="1">
      <alignment horizontal="right"/>
    </xf>
    <xf numFmtId="165" fontId="8" fillId="2" borderId="12" xfId="0" applyNumberFormat="1" applyFont="1" applyFill="1" applyBorder="1" applyAlignment="1">
      <alignment horizontal="right"/>
    </xf>
    <xf numFmtId="166" fontId="8" fillId="2" borderId="7" xfId="0" applyNumberFormat="1" applyFont="1" applyFill="1" applyBorder="1" applyAlignment="1">
      <alignment horizontal="right"/>
    </xf>
    <xf numFmtId="166" fontId="8" fillId="2" borderId="24" xfId="0" applyNumberFormat="1" applyFont="1" applyFill="1" applyBorder="1" applyAlignment="1">
      <alignment horizontal="right"/>
    </xf>
    <xf numFmtId="165" fontId="8" fillId="2" borderId="21" xfId="0" applyNumberFormat="1" applyFont="1" applyFill="1" applyBorder="1" applyAlignment="1">
      <alignment horizontal="right"/>
    </xf>
    <xf numFmtId="0" fontId="8" fillId="2" borderId="1" xfId="0" applyFont="1" applyFill="1" applyBorder="1" applyAlignment="1">
      <alignment horizontal="left"/>
    </xf>
    <xf numFmtId="166" fontId="8" fillId="2" borderId="3" xfId="0" applyNumberFormat="1" applyFont="1" applyFill="1" applyBorder="1" applyAlignment="1">
      <alignment horizontal="right"/>
    </xf>
    <xf numFmtId="165" fontId="8" fillId="2" borderId="25" xfId="0" applyNumberFormat="1" applyFont="1" applyFill="1" applyBorder="1" applyAlignment="1">
      <alignment horizontal="right"/>
    </xf>
    <xf numFmtId="166" fontId="8" fillId="2" borderId="25" xfId="0" applyNumberFormat="1" applyFont="1" applyFill="1" applyBorder="1" applyAlignment="1">
      <alignment horizontal="right"/>
    </xf>
    <xf numFmtId="166" fontId="1" fillId="2" borderId="24" xfId="0" applyNumberFormat="1" applyFont="1" applyFill="1" applyBorder="1" applyAlignment="1">
      <alignment horizontal="right"/>
    </xf>
    <xf numFmtId="166" fontId="1" fillId="2" borderId="6" xfId="0" applyNumberFormat="1" applyFont="1" applyFill="1" applyBorder="1" applyAlignment="1">
      <alignment horizontal="right"/>
    </xf>
    <xf numFmtId="166" fontId="1" fillId="2" borderId="1" xfId="0" applyNumberFormat="1" applyFont="1" applyFill="1" applyBorder="1" applyAlignment="1">
      <alignment horizontal="right"/>
    </xf>
    <xf numFmtId="166" fontId="1" fillId="2" borderId="23" xfId="0" applyNumberFormat="1" applyFont="1" applyFill="1" applyBorder="1" applyAlignment="1">
      <alignment horizontal="right"/>
    </xf>
    <xf numFmtId="166" fontId="1" fillId="2" borderId="25" xfId="0" applyNumberFormat="1" applyFont="1" applyFill="1" applyBorder="1" applyAlignment="1">
      <alignment horizontal="right"/>
    </xf>
    <xf numFmtId="0" fontId="0" fillId="0" borderId="0" xfId="0" applyAlignment="1">
      <alignment horizontal="left"/>
    </xf>
    <xf numFmtId="0" fontId="0" fillId="0" borderId="1" xfId="0" applyBorder="1"/>
    <xf numFmtId="0" fontId="2" fillId="0" borderId="5" xfId="0" applyFont="1" applyBorder="1" applyAlignment="1">
      <alignment horizontal="center" wrapText="1"/>
    </xf>
    <xf numFmtId="0" fontId="1" fillId="2" borderId="0" xfId="0" applyFont="1" applyFill="1" applyAlignment="1">
      <alignment horizontal="left" vertical="top"/>
    </xf>
    <xf numFmtId="166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164" fontId="8" fillId="2" borderId="0" xfId="0" applyNumberFormat="1" applyFont="1" applyFill="1" applyBorder="1" applyAlignment="1">
      <alignment horizontal="left"/>
    </xf>
    <xf numFmtId="164" fontId="8" fillId="2" borderId="6" xfId="0" applyNumberFormat="1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6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center" wrapText="1"/>
    </xf>
    <xf numFmtId="0" fontId="7" fillId="2" borderId="15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wrapText="1"/>
    </xf>
    <xf numFmtId="0" fontId="7" fillId="2" borderId="18" xfId="0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 wrapText="1"/>
    </xf>
    <xf numFmtId="0" fontId="7" fillId="2" borderId="17" xfId="0" applyFont="1" applyFill="1" applyBorder="1" applyAlignment="1">
      <alignment horizontal="center" wrapText="1"/>
    </xf>
    <xf numFmtId="0" fontId="5" fillId="0" borderId="0" xfId="0" applyFont="1" applyFill="1" applyBorder="1" applyAlignment="1">
      <alignment horizontal="center" wrapText="1"/>
    </xf>
    <xf numFmtId="0" fontId="4" fillId="0" borderId="8" xfId="0" applyFont="1" applyFill="1" applyBorder="1" applyAlignment="1">
      <alignment horizontal="left" wrapText="1"/>
    </xf>
    <xf numFmtId="0" fontId="5" fillId="0" borderId="0" xfId="0" applyFont="1" applyAlignment="1">
      <alignment horizontal="center" wrapText="1"/>
    </xf>
    <xf numFmtId="0" fontId="9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zoomScale="150" zoomScaleNormal="150" workbookViewId="0">
      <selection activeCell="J20" sqref="J20"/>
    </sheetView>
  </sheetViews>
  <sheetFormatPr defaultColWidth="11.42578125" defaultRowHeight="9.9499999999999993" customHeight="1" x14ac:dyDescent="0.2"/>
  <cols>
    <col min="1" max="1" width="15" customWidth="1"/>
    <col min="2" max="2" width="6.85546875" bestFit="1" customWidth="1"/>
    <col min="3" max="3" width="8.42578125" bestFit="1" customWidth="1"/>
    <col min="4" max="4" width="6.85546875" bestFit="1" customWidth="1"/>
    <col min="5" max="5" width="8.42578125" bestFit="1" customWidth="1"/>
    <col min="6" max="6" width="6.85546875" bestFit="1" customWidth="1"/>
    <col min="7" max="7" width="8.42578125" bestFit="1" customWidth="1"/>
    <col min="8" max="8" width="6.85546875" bestFit="1" customWidth="1"/>
    <col min="9" max="9" width="8.42578125" bestFit="1" customWidth="1"/>
    <col min="10" max="10" width="9.85546875" customWidth="1"/>
  </cols>
  <sheetData>
    <row r="1" spans="1:10" ht="14.1" customHeight="1" x14ac:dyDescent="0.2">
      <c r="A1" s="50" t="s">
        <v>0</v>
      </c>
      <c r="B1" s="50"/>
      <c r="C1" s="50"/>
      <c r="D1" s="50"/>
      <c r="E1" s="50"/>
      <c r="F1" s="50"/>
      <c r="G1" s="50"/>
      <c r="H1" s="50"/>
      <c r="I1" s="50"/>
      <c r="J1" s="50"/>
    </row>
    <row r="2" spans="1:10" ht="11.25" x14ac:dyDescent="0.2">
      <c r="A2" s="50" t="s">
        <v>32</v>
      </c>
      <c r="B2" s="50"/>
      <c r="C2" s="50"/>
      <c r="D2" s="50"/>
      <c r="E2" s="50"/>
      <c r="F2" s="50"/>
      <c r="G2" s="50"/>
      <c r="H2" s="50"/>
      <c r="I2" s="50"/>
      <c r="J2" s="50"/>
    </row>
    <row r="3" spans="1:10" ht="11.25" x14ac:dyDescent="0.2">
      <c r="A3" s="50" t="s">
        <v>39</v>
      </c>
      <c r="B3" s="50"/>
      <c r="C3" s="50"/>
      <c r="D3" s="50"/>
      <c r="E3" s="50"/>
      <c r="F3" s="50"/>
      <c r="G3" s="50"/>
      <c r="H3" s="50"/>
      <c r="I3" s="50"/>
      <c r="J3" s="50"/>
    </row>
    <row r="4" spans="1:10" ht="5.25" customHeight="1" thickBot="1" x14ac:dyDescent="0.25">
      <c r="A4" s="9"/>
      <c r="B4" s="9"/>
      <c r="C4" s="9"/>
      <c r="D4" s="9"/>
      <c r="E4" s="9"/>
      <c r="F4" s="9"/>
      <c r="G4" s="9"/>
      <c r="H4" s="9"/>
      <c r="I4" s="9"/>
      <c r="J4" s="9"/>
    </row>
    <row r="5" spans="1:10" ht="41.25" customHeight="1" thickTop="1" x14ac:dyDescent="0.2">
      <c r="A5" s="51" t="s">
        <v>28</v>
      </c>
      <c r="B5" s="56" t="s">
        <v>35</v>
      </c>
      <c r="C5" s="55"/>
      <c r="D5" s="53" t="s">
        <v>36</v>
      </c>
      <c r="E5" s="54"/>
      <c r="F5" s="55" t="s">
        <v>40</v>
      </c>
      <c r="G5" s="55"/>
      <c r="H5" s="53" t="s">
        <v>37</v>
      </c>
      <c r="I5" s="54"/>
      <c r="J5" s="17" t="s">
        <v>27</v>
      </c>
    </row>
    <row r="6" spans="1:10" ht="15.75" customHeight="1" x14ac:dyDescent="0.2">
      <c r="A6" s="52"/>
      <c r="B6" s="18" t="s">
        <v>33</v>
      </c>
      <c r="C6" s="19" t="s">
        <v>34</v>
      </c>
      <c r="D6" s="20" t="s">
        <v>33</v>
      </c>
      <c r="E6" s="20" t="s">
        <v>34</v>
      </c>
      <c r="F6" s="21" t="s">
        <v>33</v>
      </c>
      <c r="G6" s="19" t="s">
        <v>34</v>
      </c>
      <c r="H6" s="20" t="s">
        <v>33</v>
      </c>
      <c r="I6" s="20" t="s">
        <v>34</v>
      </c>
      <c r="J6" s="22"/>
    </row>
    <row r="7" spans="1:10" ht="14.1" customHeight="1" x14ac:dyDescent="0.2">
      <c r="A7" s="46" t="s">
        <v>1</v>
      </c>
      <c r="B7" s="23">
        <v>11327</v>
      </c>
      <c r="C7" s="25">
        <v>6506305</v>
      </c>
      <c r="D7" s="26">
        <v>29855</v>
      </c>
      <c r="E7" s="25">
        <v>16120466</v>
      </c>
      <c r="F7" s="26">
        <v>11061</v>
      </c>
      <c r="G7" s="25">
        <v>6463980</v>
      </c>
      <c r="H7" s="26">
        <v>30107</v>
      </c>
      <c r="I7" s="25">
        <v>16162791</v>
      </c>
      <c r="J7" s="24">
        <v>536.84495300096319</v>
      </c>
    </row>
    <row r="8" spans="1:10" ht="14.1" customHeight="1" x14ac:dyDescent="0.2">
      <c r="A8" s="46" t="s">
        <v>2</v>
      </c>
      <c r="B8" s="23">
        <v>8562</v>
      </c>
      <c r="C8" s="25">
        <v>9642112</v>
      </c>
      <c r="D8" s="26">
        <v>21088</v>
      </c>
      <c r="E8" s="25">
        <v>32618158</v>
      </c>
      <c r="F8" s="26">
        <v>7145</v>
      </c>
      <c r="G8" s="25">
        <v>9348665</v>
      </c>
      <c r="H8" s="26">
        <v>22418</v>
      </c>
      <c r="I8" s="25">
        <v>32911605</v>
      </c>
      <c r="J8" s="24">
        <v>1468.0883664912124</v>
      </c>
    </row>
    <row r="9" spans="1:10" ht="14.1" customHeight="1" x14ac:dyDescent="0.2">
      <c r="A9" s="46" t="s">
        <v>3</v>
      </c>
      <c r="B9" s="23">
        <v>4817</v>
      </c>
      <c r="C9" s="25">
        <v>4442095</v>
      </c>
      <c r="D9" s="26">
        <v>19126</v>
      </c>
      <c r="E9" s="25">
        <v>20719345</v>
      </c>
      <c r="F9" s="26">
        <v>3481</v>
      </c>
      <c r="G9" s="25">
        <v>3783449</v>
      </c>
      <c r="H9" s="26">
        <v>19983</v>
      </c>
      <c r="I9" s="25">
        <v>21377991</v>
      </c>
      <c r="J9" s="24">
        <v>1069.8088875544213</v>
      </c>
    </row>
    <row r="10" spans="1:10" ht="14.1" customHeight="1" x14ac:dyDescent="0.2">
      <c r="A10" s="46" t="s">
        <v>4</v>
      </c>
      <c r="B10" s="23">
        <v>1246</v>
      </c>
      <c r="C10" s="25">
        <v>1021125</v>
      </c>
      <c r="D10" s="26">
        <v>6639</v>
      </c>
      <c r="E10" s="25">
        <v>3425972</v>
      </c>
      <c r="F10" s="26">
        <v>496</v>
      </c>
      <c r="G10" s="25">
        <v>501357</v>
      </c>
      <c r="H10" s="26">
        <v>7064</v>
      </c>
      <c r="I10" s="25">
        <v>3945740</v>
      </c>
      <c r="J10" s="24">
        <v>558.5702151755379</v>
      </c>
    </row>
    <row r="11" spans="1:10" ht="14.1" customHeight="1" x14ac:dyDescent="0.2">
      <c r="A11" s="47" t="s">
        <v>5</v>
      </c>
      <c r="B11" s="27">
        <v>1428</v>
      </c>
      <c r="C11" s="29">
        <v>980863</v>
      </c>
      <c r="D11" s="30">
        <v>1386</v>
      </c>
      <c r="E11" s="29">
        <v>374108</v>
      </c>
      <c r="F11" s="30">
        <v>276</v>
      </c>
      <c r="G11" s="29">
        <v>193719</v>
      </c>
      <c r="H11" s="30">
        <v>2544</v>
      </c>
      <c r="I11" s="29">
        <v>1161252</v>
      </c>
      <c r="J11" s="28">
        <v>456.46698113207549</v>
      </c>
    </row>
    <row r="12" spans="1:10" ht="17.25" customHeight="1" thickBot="1" x14ac:dyDescent="0.25">
      <c r="A12" s="31" t="s">
        <v>6</v>
      </c>
      <c r="B12" s="33">
        <v>27380</v>
      </c>
      <c r="C12" s="34">
        <v>22592500</v>
      </c>
      <c r="D12" s="33">
        <v>78094</v>
      </c>
      <c r="E12" s="34">
        <v>73258049</v>
      </c>
      <c r="F12" s="33">
        <v>22459</v>
      </c>
      <c r="G12" s="34">
        <v>20291170</v>
      </c>
      <c r="H12" s="33">
        <v>82116</v>
      </c>
      <c r="I12" s="34">
        <v>75559379</v>
      </c>
      <c r="J12" s="32">
        <v>920.15415996882462</v>
      </c>
    </row>
    <row r="13" spans="1:10" ht="9.9499999999999993" customHeight="1" thickTop="1" x14ac:dyDescent="0.2"/>
    <row r="16" spans="1:10" ht="9.9499999999999993" customHeight="1" x14ac:dyDescent="0.2">
      <c r="B16" s="16"/>
      <c r="C16" s="16"/>
      <c r="D16" s="16"/>
      <c r="E16" s="16"/>
      <c r="F16" s="16"/>
      <c r="G16" s="16"/>
      <c r="H16" s="16"/>
      <c r="I16" s="16"/>
    </row>
    <row r="18" spans="3:7" ht="9.9499999999999993" customHeight="1" x14ac:dyDescent="0.2">
      <c r="C18" s="15"/>
      <c r="G18" s="15"/>
    </row>
  </sheetData>
  <mergeCells count="8">
    <mergeCell ref="A1:J1"/>
    <mergeCell ref="A2:J2"/>
    <mergeCell ref="A3:J3"/>
    <mergeCell ref="A5:A6"/>
    <mergeCell ref="H5:I5"/>
    <mergeCell ref="F5:G5"/>
    <mergeCell ref="D5:E5"/>
    <mergeCell ref="B5:C5"/>
  </mergeCells>
  <pageMargins left="0.05" right="0.05" top="0.5" bottom="0.5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zoomScaleNormal="100" workbookViewId="0">
      <selection activeCell="D25" sqref="D25"/>
    </sheetView>
  </sheetViews>
  <sheetFormatPr defaultColWidth="11.42578125" defaultRowHeight="9.9499999999999993" customHeight="1" x14ac:dyDescent="0.2"/>
  <cols>
    <col min="1" max="1" width="21" customWidth="1"/>
    <col min="2" max="2" width="18.140625" customWidth="1"/>
    <col min="3" max="3" width="17" customWidth="1"/>
    <col min="4" max="4" width="16.7109375" customWidth="1"/>
  </cols>
  <sheetData>
    <row r="1" spans="1:4" ht="14.1" customHeight="1" x14ac:dyDescent="0.25">
      <c r="A1" s="57" t="s">
        <v>7</v>
      </c>
      <c r="B1" s="57"/>
      <c r="C1" s="57"/>
      <c r="D1" s="57"/>
    </row>
    <row r="2" spans="1:4" ht="15" x14ac:dyDescent="0.25">
      <c r="A2" s="57" t="s">
        <v>8</v>
      </c>
      <c r="B2" s="57"/>
      <c r="C2" s="57"/>
      <c r="D2" s="57"/>
    </row>
    <row r="3" spans="1:4" ht="15" x14ac:dyDescent="0.25">
      <c r="A3" s="57" t="s">
        <v>39</v>
      </c>
      <c r="B3" s="57"/>
      <c r="C3" s="57"/>
      <c r="D3" s="57"/>
    </row>
    <row r="4" spans="1:4" ht="9.9499999999999993" customHeight="1" thickBot="1" x14ac:dyDescent="0.25">
      <c r="A4" s="9"/>
      <c r="B4" s="9"/>
      <c r="C4" s="9"/>
      <c r="D4" s="9"/>
    </row>
    <row r="5" spans="1:4" ht="30" customHeight="1" thickTop="1" x14ac:dyDescent="0.2">
      <c r="A5" s="2" t="s">
        <v>29</v>
      </c>
      <c r="B5" s="10" t="s">
        <v>25</v>
      </c>
      <c r="C5" s="3" t="s">
        <v>26</v>
      </c>
      <c r="D5" s="6" t="s">
        <v>27</v>
      </c>
    </row>
    <row r="6" spans="1:4" ht="14.1" customHeight="1" x14ac:dyDescent="0.2">
      <c r="A6" s="1" t="s">
        <v>9</v>
      </c>
      <c r="B6" s="11">
        <v>53722</v>
      </c>
      <c r="C6" s="4">
        <v>48129135</v>
      </c>
      <c r="D6" s="4">
        <v>895.89246491195411</v>
      </c>
    </row>
    <row r="7" spans="1:4" ht="14.1" customHeight="1" x14ac:dyDescent="0.2">
      <c r="A7" s="1" t="s">
        <v>10</v>
      </c>
      <c r="B7" s="11">
        <v>9850</v>
      </c>
      <c r="C7" s="38">
        <v>8973161</v>
      </c>
      <c r="D7" s="4">
        <v>910.98081218274115</v>
      </c>
    </row>
    <row r="8" spans="1:4" ht="14.1" customHeight="1" x14ac:dyDescent="0.2">
      <c r="A8" s="1" t="s">
        <v>11</v>
      </c>
      <c r="B8" s="11">
        <v>14497</v>
      </c>
      <c r="C8" s="38">
        <v>14842497</v>
      </c>
      <c r="D8" s="4">
        <v>1023.832310133131</v>
      </c>
    </row>
    <row r="9" spans="1:4" ht="14.1" customHeight="1" x14ac:dyDescent="0.2">
      <c r="A9" s="7" t="s">
        <v>12</v>
      </c>
      <c r="B9" s="14">
        <v>4047</v>
      </c>
      <c r="C9" s="35">
        <v>3614586</v>
      </c>
      <c r="D9" s="36">
        <v>893.15196441808746</v>
      </c>
    </row>
    <row r="10" spans="1:4" ht="17.25" customHeight="1" thickBot="1" x14ac:dyDescent="0.25">
      <c r="A10" s="13" t="s">
        <v>13</v>
      </c>
      <c r="B10" s="12">
        <v>82116</v>
      </c>
      <c r="C10" s="39">
        <v>75559379</v>
      </c>
      <c r="D10" s="37">
        <v>920.15415996882462</v>
      </c>
    </row>
    <row r="11" spans="1:4" ht="19.5" customHeight="1" thickTop="1" x14ac:dyDescent="0.2">
      <c r="A11" s="58" t="s">
        <v>38</v>
      </c>
      <c r="B11" s="58"/>
      <c r="C11" s="58"/>
      <c r="D11" s="58"/>
    </row>
    <row r="15" spans="1:4" ht="9.9499999999999993" customHeight="1" x14ac:dyDescent="0.2">
      <c r="B15" s="16"/>
      <c r="C15" s="16"/>
    </row>
  </sheetData>
  <mergeCells count="4">
    <mergeCell ref="A1:D1"/>
    <mergeCell ref="A2:D2"/>
    <mergeCell ref="A3:D3"/>
    <mergeCell ref="A11:D11"/>
  </mergeCells>
  <pageMargins left="0.05" right="0.05" top="0.5" bottom="0.5" header="0" footer="0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zoomScaleNormal="100" workbookViewId="0">
      <selection activeCell="F1" sqref="F1:G1048576"/>
    </sheetView>
  </sheetViews>
  <sheetFormatPr defaultColWidth="11.42578125" defaultRowHeight="9.9499999999999993" customHeight="1" x14ac:dyDescent="0.2"/>
  <cols>
    <col min="1" max="1" width="13" style="40" bestFit="1" customWidth="1"/>
    <col min="2" max="2" width="17.7109375" style="40" customWidth="1"/>
    <col min="3" max="3" width="16.85546875" style="40" customWidth="1"/>
    <col min="4" max="4" width="17" style="40" customWidth="1"/>
    <col min="5" max="16384" width="11.42578125" style="40"/>
  </cols>
  <sheetData>
    <row r="1" spans="1:4" ht="14.1" customHeight="1" x14ac:dyDescent="0.25">
      <c r="A1" s="59" t="s">
        <v>14</v>
      </c>
      <c r="B1" s="59"/>
      <c r="C1" s="59"/>
      <c r="D1" s="59"/>
    </row>
    <row r="2" spans="1:4" ht="15" x14ac:dyDescent="0.25">
      <c r="A2" s="59" t="s">
        <v>15</v>
      </c>
      <c r="B2" s="59"/>
      <c r="C2" s="59"/>
      <c r="D2" s="59"/>
    </row>
    <row r="3" spans="1:4" ht="15" x14ac:dyDescent="0.25">
      <c r="A3" s="59" t="s">
        <v>39</v>
      </c>
      <c r="B3" s="59"/>
      <c r="C3" s="59"/>
      <c r="D3" s="59"/>
    </row>
    <row r="4" spans="1:4" ht="9.9499999999999993" customHeight="1" thickBot="1" x14ac:dyDescent="0.25">
      <c r="A4" s="41"/>
      <c r="B4" s="41"/>
      <c r="C4" s="41"/>
      <c r="D4" s="41"/>
    </row>
    <row r="5" spans="1:4" ht="30" customHeight="1" thickTop="1" x14ac:dyDescent="0.2">
      <c r="A5" s="2" t="s">
        <v>31</v>
      </c>
      <c r="B5" s="10" t="s">
        <v>25</v>
      </c>
      <c r="C5" s="3" t="s">
        <v>26</v>
      </c>
      <c r="D5" s="42" t="s">
        <v>27</v>
      </c>
    </row>
    <row r="6" spans="1:4" ht="14.1" customHeight="1" x14ac:dyDescent="0.2">
      <c r="A6" s="48" t="s">
        <v>16</v>
      </c>
      <c r="B6" s="11">
        <v>77424</v>
      </c>
      <c r="C6" s="4">
        <v>73496673</v>
      </c>
      <c r="D6" s="4">
        <v>949.27506974581524</v>
      </c>
    </row>
    <row r="7" spans="1:4" ht="14.1" customHeight="1" x14ac:dyDescent="0.2">
      <c r="A7" s="49" t="s">
        <v>17</v>
      </c>
      <c r="B7" s="14">
        <v>4692</v>
      </c>
      <c r="C7" s="8">
        <v>2062706</v>
      </c>
      <c r="D7" s="8">
        <v>439.62190963341857</v>
      </c>
    </row>
    <row r="8" spans="1:4" ht="18" customHeight="1" thickBot="1" x14ac:dyDescent="0.25">
      <c r="A8" s="13" t="s">
        <v>6</v>
      </c>
      <c r="B8" s="12">
        <v>82116</v>
      </c>
      <c r="C8" s="5">
        <v>75559379</v>
      </c>
      <c r="D8" s="5">
        <v>920.15415996882462</v>
      </c>
    </row>
    <row r="9" spans="1:4" ht="9.9499999999999993" customHeight="1" thickTop="1" x14ac:dyDescent="0.2"/>
    <row r="11" spans="1:4" ht="9.9499999999999993" customHeight="1" x14ac:dyDescent="0.2">
      <c r="C11" s="44"/>
    </row>
  </sheetData>
  <mergeCells count="3">
    <mergeCell ref="A1:D1"/>
    <mergeCell ref="A2:D2"/>
    <mergeCell ref="A3:D3"/>
  </mergeCells>
  <pageMargins left="0.05" right="0.05" top="0.5" bottom="0.5" header="0" footer="0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6"/>
  <sheetViews>
    <sheetView zoomScaleNormal="100" workbookViewId="0">
      <selection activeCell="I29" sqref="I29"/>
    </sheetView>
  </sheetViews>
  <sheetFormatPr defaultColWidth="11.42578125" defaultRowHeight="9.9499999999999993" customHeight="1" x14ac:dyDescent="0.2"/>
  <cols>
    <col min="1" max="1" width="21.7109375" style="40" customWidth="1"/>
    <col min="2" max="2" width="18.7109375" style="40" customWidth="1"/>
    <col min="3" max="3" width="17.140625" style="40" customWidth="1"/>
    <col min="4" max="4" width="17" style="40" customWidth="1"/>
    <col min="5" max="16384" width="11.42578125" style="40"/>
  </cols>
  <sheetData>
    <row r="1" spans="1:4" ht="14.1" customHeight="1" x14ac:dyDescent="0.25">
      <c r="A1" s="60" t="s">
        <v>18</v>
      </c>
      <c r="B1" s="60"/>
      <c r="C1" s="60"/>
      <c r="D1" s="60"/>
    </row>
    <row r="2" spans="1:4" ht="12.75" customHeight="1" x14ac:dyDescent="0.25">
      <c r="A2" s="60" t="s">
        <v>19</v>
      </c>
      <c r="B2" s="60"/>
      <c r="C2" s="60"/>
      <c r="D2" s="60"/>
    </row>
    <row r="3" spans="1:4" ht="15" x14ac:dyDescent="0.25">
      <c r="A3" s="60" t="s">
        <v>39</v>
      </c>
      <c r="B3" s="60"/>
      <c r="C3" s="60"/>
      <c r="D3" s="60"/>
    </row>
    <row r="4" spans="1:4" ht="3" customHeight="1" thickBot="1" x14ac:dyDescent="0.25">
      <c r="A4" s="41"/>
      <c r="B4" s="41"/>
      <c r="C4" s="41"/>
      <c r="D4" s="41"/>
    </row>
    <row r="5" spans="1:4" ht="30" customHeight="1" thickTop="1" x14ac:dyDescent="0.2">
      <c r="A5" s="2" t="s">
        <v>30</v>
      </c>
      <c r="B5" s="10" t="s">
        <v>25</v>
      </c>
      <c r="C5" s="3" t="s">
        <v>26</v>
      </c>
      <c r="D5" s="42" t="s">
        <v>27</v>
      </c>
    </row>
    <row r="6" spans="1:4" ht="14.1" customHeight="1" x14ac:dyDescent="0.2">
      <c r="A6" s="43" t="s">
        <v>23</v>
      </c>
      <c r="B6" s="11">
        <v>32894</v>
      </c>
      <c r="C6" s="4">
        <v>40869141</v>
      </c>
      <c r="D6" s="4">
        <f>C6/B6</f>
        <v>1242.4497172736669</v>
      </c>
    </row>
    <row r="7" spans="1:4" ht="14.1" customHeight="1" x14ac:dyDescent="0.2">
      <c r="A7" s="43" t="s">
        <v>20</v>
      </c>
      <c r="B7" s="11">
        <v>29772</v>
      </c>
      <c r="C7" s="4">
        <v>12205298</v>
      </c>
      <c r="D7" s="4">
        <f>C7/B7</f>
        <v>409.95895472255813</v>
      </c>
    </row>
    <row r="8" spans="1:4" ht="14.1" customHeight="1" x14ac:dyDescent="0.2">
      <c r="A8" s="43" t="s">
        <v>21</v>
      </c>
      <c r="B8" s="11">
        <v>19152</v>
      </c>
      <c r="C8" s="4">
        <v>22143612</v>
      </c>
      <c r="D8" s="4">
        <f>C8/B8</f>
        <v>1156.203634085213</v>
      </c>
    </row>
    <row r="9" spans="1:4" ht="14.1" customHeight="1" x14ac:dyDescent="0.2">
      <c r="A9" s="43" t="s">
        <v>22</v>
      </c>
      <c r="B9" s="11">
        <v>241</v>
      </c>
      <c r="C9" s="4">
        <v>268260</v>
      </c>
      <c r="D9" s="4">
        <f>C9/B9</f>
        <v>1113.1120331950208</v>
      </c>
    </row>
    <row r="10" spans="1:4" ht="14.1" customHeight="1" x14ac:dyDescent="0.2">
      <c r="A10" s="7" t="s">
        <v>24</v>
      </c>
      <c r="B10" s="14">
        <v>57</v>
      </c>
      <c r="C10" s="8">
        <v>73068</v>
      </c>
      <c r="D10" s="8">
        <f>C10/B10</f>
        <v>1281.8947368421052</v>
      </c>
    </row>
    <row r="11" spans="1:4" ht="17.25" customHeight="1" thickBot="1" x14ac:dyDescent="0.25">
      <c r="A11" s="13" t="s">
        <v>6</v>
      </c>
      <c r="B11" s="12">
        <v>82116</v>
      </c>
      <c r="C11" s="5">
        <v>75559379</v>
      </c>
      <c r="D11" s="5">
        <f t="shared" ref="D11" si="0">C11/B11</f>
        <v>920.15415996882462</v>
      </c>
    </row>
    <row r="12" spans="1:4" ht="9.9499999999999993" customHeight="1" thickTop="1" x14ac:dyDescent="0.2"/>
    <row r="16" spans="1:4" ht="9.9499999999999993" customHeight="1" x14ac:dyDescent="0.2">
      <c r="B16" s="45"/>
      <c r="C16" s="45"/>
    </row>
  </sheetData>
  <sortState xmlns:xlrd2="http://schemas.microsoft.com/office/spreadsheetml/2017/richdata2" ref="A6:D10">
    <sortCondition descending="1" ref="B6:B10"/>
  </sortState>
  <mergeCells count="3">
    <mergeCell ref="A1:D1"/>
    <mergeCell ref="A2:D2"/>
    <mergeCell ref="A3:D3"/>
  </mergeCells>
  <pageMargins left="0.05" right="0.05" top="0.5" bottom="0.5" header="0" footer="0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1</vt:lpstr>
      <vt:lpstr>Table 2</vt:lpstr>
      <vt:lpstr>Table 3</vt:lpstr>
      <vt:lpstr>Table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SAS System</dc:title>
  <dc:creator>wud</dc:creator>
  <cp:lastModifiedBy>Fu, Shi</cp:lastModifiedBy>
  <cp:revision>1</cp:revision>
  <dcterms:created xsi:type="dcterms:W3CDTF">2020-11-12T21:08:27Z</dcterms:created>
  <dcterms:modified xsi:type="dcterms:W3CDTF">2024-10-28T21:55:16Z</dcterms:modified>
</cp:coreProperties>
</file>